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CEE5A5CB-38C7-4361-9DF5-13F2D5C018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1" r:id="rId1"/>
    <sheet name="工作表2" sheetId="2" r:id="rId2"/>
    <sheet name="工作表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7" i="1" l="1"/>
  <c r="F31" i="1" s="1"/>
  <c r="C36" i="1"/>
  <c r="D36" i="1"/>
  <c r="E36" i="1"/>
  <c r="G36" i="1"/>
  <c r="D3" i="1"/>
  <c r="F36" i="1" l="1"/>
  <c r="E3" i="1"/>
  <c r="C3" i="1"/>
  <c r="E22" i="1"/>
  <c r="D22" i="1"/>
  <c r="C22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J1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L1" i="1"/>
  <c r="M1" i="1"/>
  <c r="N1" i="1"/>
  <c r="O1" i="1"/>
  <c r="P1" i="1"/>
  <c r="Q1" i="1"/>
  <c r="R1" i="1"/>
  <c r="S1" i="1"/>
  <c r="T1" i="1"/>
  <c r="U1" i="1"/>
  <c r="V1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7" i="1" l="1"/>
  <c r="F6" i="1"/>
  <c r="F20" i="1"/>
  <c r="F21" i="1"/>
  <c r="F5" i="1"/>
  <c r="F32" i="1"/>
  <c r="F3" i="1"/>
  <c r="F33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<sst xmlns="http://schemas.openxmlformats.org/spreadsheetml/2006/main" count="43" uniqueCount="43">
  <si>
    <t>排名</t>
  </si>
  <si>
    <t>平時1</t>
  </si>
  <si>
    <t>平時2</t>
  </si>
  <si>
    <t>平時3</t>
  </si>
  <si>
    <t>class0805</t>
    <phoneticPr fontId="1" type="noConversion"/>
  </si>
  <si>
    <t>115 僑生A班</t>
    <phoneticPr fontId="1" type="noConversion"/>
  </si>
  <si>
    <t>伍文湄</t>
  </si>
  <si>
    <t>何名豐</t>
  </si>
  <si>
    <t>呂葵英</t>
  </si>
  <si>
    <t>林善發</t>
  </si>
  <si>
    <t>南銘宏</t>
  </si>
  <si>
    <t>范明君</t>
  </si>
  <si>
    <t>徐美賢</t>
  </si>
  <si>
    <t>徐康豪</t>
  </si>
  <si>
    <t>崔安杰</t>
  </si>
  <si>
    <t>張卓爾</t>
  </si>
  <si>
    <t>張海燕</t>
  </si>
  <si>
    <t>梁振倫</t>
  </si>
  <si>
    <t>梁龍均</t>
  </si>
  <si>
    <t>陳天意</t>
  </si>
  <si>
    <t>陶士林</t>
  </si>
  <si>
    <t>陸雪媚</t>
  </si>
  <si>
    <t>陸開偉</t>
  </si>
  <si>
    <t>傅玉春</t>
  </si>
  <si>
    <t>黃全玉</t>
  </si>
  <si>
    <t>黃亞祝</t>
  </si>
  <si>
    <t>黃映秀</t>
  </si>
  <si>
    <t>劉友文</t>
  </si>
  <si>
    <t>劉玉明</t>
  </si>
  <si>
    <t>鄧子誠</t>
  </si>
  <si>
    <t>鄧李富</t>
  </si>
  <si>
    <t>鄧義順</t>
  </si>
  <si>
    <t>鄧葉輝</t>
  </si>
  <si>
    <t>鄭家輝</t>
  </si>
  <si>
    <t>黎武茶媚</t>
  </si>
  <si>
    <t>黎翠雲</t>
  </si>
  <si>
    <t>鍾錦權</t>
  </si>
  <si>
    <t>藍世輝</t>
  </si>
  <si>
    <t>譚美詩</t>
  </si>
  <si>
    <t>自我介紹稿子</t>
    <phoneticPr fontId="1" type="noConversion"/>
  </si>
  <si>
    <t>自我介紹</t>
    <phoneticPr fontId="1" type="noConversion"/>
  </si>
  <si>
    <t>class0806</t>
    <phoneticPr fontId="1" type="noConversion"/>
  </si>
  <si>
    <t>龐文傑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</si>
</sst>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color rgb="FF000000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0" fillId="0" borderId="0" xfId="0" applyFill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37"/>
  <sheetViews>
    <sheetView tabSelected="1" zoomScale="115" zoomScaleNormal="115"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J11" sqref="J11"/>
    </sheetView>
  </sheetViews>
  <sheetFormatPr defaultRowHeight="16.5" x14ac:dyDescent="0.25"/>
  <cols>
    <col min="3" max="5" width="6.5" style="4" bestFit="1" customWidth="1"/>
    <col min="6" max="6" width="5.5" bestFit="1" customWidth="1"/>
    <col min="9" max="9" width="12.375" customWidth="1"/>
    <col min="10" max="10" width="9.5" bestFit="1" customWidth="1"/>
    <col min="12" max="12" width="15.25" bestFit="1" customWidth="1"/>
    <col min="15" max="19" width="5.7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39</v>
      </c>
      <c r="K1" s="2">
        <f t="shared" ref="K1:BV1" si="0">MIN(K3:K21)-1</f>
        <v>39</v>
      </c>
      <c r="L1" s="2">
        <f t="shared" si="0"/>
        <v>-1</v>
      </c>
      <c r="M1" s="2">
        <f t="shared" si="0"/>
        <v>-1</v>
      </c>
      <c r="N1" s="2">
        <f t="shared" si="0"/>
        <v>-1</v>
      </c>
      <c r="O1" s="2">
        <f t="shared" si="0"/>
        <v>-1</v>
      </c>
      <c r="P1" s="2">
        <f t="shared" si="0"/>
        <v>-1</v>
      </c>
      <c r="Q1" s="2">
        <f t="shared" si="0"/>
        <v>-1</v>
      </c>
      <c r="R1" s="2">
        <f t="shared" si="0"/>
        <v>-1</v>
      </c>
      <c r="S1" s="2">
        <f t="shared" si="0"/>
        <v>-1</v>
      </c>
      <c r="T1" s="2">
        <f t="shared" si="0"/>
        <v>-1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x14ac:dyDescent="0.25">
      <c r="A2" t="s">
        <v>5</v>
      </c>
      <c r="C2" s="4" t="s">
        <v>1</v>
      </c>
      <c r="D2" s="4" t="s">
        <v>2</v>
      </c>
      <c r="E2" s="4" t="s">
        <v>3</v>
      </c>
      <c r="F2" t="s">
        <v>0</v>
      </c>
      <c r="H2" s="4" t="s">
        <v>4</v>
      </c>
      <c r="I2" s="4" t="s">
        <v>39</v>
      </c>
      <c r="J2" s="4" t="s">
        <v>40</v>
      </c>
      <c r="K2" s="4" t="s">
        <v>41</v>
      </c>
      <c r="L2" s="4"/>
    </row>
    <row r="3" spans="1:195" x14ac:dyDescent="0.25">
      <c r="A3">
        <v>1</v>
      </c>
      <c r="B3" s="6" t="s">
        <v>6</v>
      </c>
      <c r="C3" s="4">
        <f>SUM(H3:BR3)/63+60</f>
        <v>62.539682539682538</v>
      </c>
      <c r="D3" s="4">
        <f>SUM(BS3:EH3)/(131-63)+60</f>
        <v>60</v>
      </c>
      <c r="E3" s="4">
        <f>SUM(EH3:FV3)/36+60</f>
        <v>60</v>
      </c>
      <c r="F3">
        <f>RANK(G3,$G$3:$G$37)</f>
        <v>2</v>
      </c>
      <c r="G3">
        <f>SUM(H3:AAB3)</f>
        <v>160</v>
      </c>
      <c r="H3">
        <v>40</v>
      </c>
      <c r="I3">
        <v>40</v>
      </c>
      <c r="J3">
        <v>40</v>
      </c>
      <c r="K3">
        <v>40</v>
      </c>
    </row>
    <row r="4" spans="1:195" x14ac:dyDescent="0.25">
      <c r="A4">
        <v>2</v>
      </c>
      <c r="B4" s="6" t="s">
        <v>7</v>
      </c>
      <c r="C4" s="4">
        <f t="shared" ref="C4:C22" si="3">SUM(H4:BR4)/63+60</f>
        <v>62.539682539682538</v>
      </c>
      <c r="D4" s="4">
        <f t="shared" ref="D4:D22" si="4">SUM(BS4:EH4)/(131-63)+60</f>
        <v>60</v>
      </c>
      <c r="E4" s="4">
        <f t="shared" ref="E4:E22" si="5">SUM(EH4:FV4)/36+60</f>
        <v>60</v>
      </c>
      <c r="F4">
        <f>RANK(G4,$G$3:$G$37)</f>
        <v>2</v>
      </c>
      <c r="G4">
        <f t="shared" ref="G4:G35" si="6">SUM(H4:AAB4)</f>
        <v>160</v>
      </c>
      <c r="H4">
        <v>40</v>
      </c>
      <c r="I4">
        <v>40</v>
      </c>
      <c r="J4">
        <v>40</v>
      </c>
      <c r="K4">
        <v>40</v>
      </c>
    </row>
    <row r="5" spans="1:195" x14ac:dyDescent="0.25">
      <c r="A5">
        <v>3</v>
      </c>
      <c r="B5" s="6" t="s">
        <v>8</v>
      </c>
      <c r="C5" s="4">
        <f t="shared" si="3"/>
        <v>62.539682539682538</v>
      </c>
      <c r="D5" s="4">
        <f t="shared" si="4"/>
        <v>60</v>
      </c>
      <c r="E5" s="4">
        <f t="shared" si="5"/>
        <v>60</v>
      </c>
      <c r="F5">
        <f>RANK(G5,$G$3:$G$37)</f>
        <v>2</v>
      </c>
      <c r="G5">
        <f t="shared" si="6"/>
        <v>160</v>
      </c>
      <c r="H5">
        <v>40</v>
      </c>
      <c r="I5">
        <v>40</v>
      </c>
      <c r="J5">
        <v>40</v>
      </c>
      <c r="K5">
        <v>40</v>
      </c>
    </row>
    <row r="6" spans="1:195" x14ac:dyDescent="0.25">
      <c r="A6">
        <v>4</v>
      </c>
      <c r="B6" s="6" t="s">
        <v>9</v>
      </c>
      <c r="C6" s="4">
        <f t="shared" si="3"/>
        <v>62.539682539682538</v>
      </c>
      <c r="D6" s="4">
        <f t="shared" si="4"/>
        <v>60</v>
      </c>
      <c r="E6" s="4">
        <f t="shared" si="5"/>
        <v>60</v>
      </c>
      <c r="F6">
        <f>RANK(G6,$G$3:$G$37)</f>
        <v>2</v>
      </c>
      <c r="G6">
        <f t="shared" si="6"/>
        <v>160</v>
      </c>
      <c r="H6">
        <v>40</v>
      </c>
      <c r="I6">
        <v>40</v>
      </c>
      <c r="J6">
        <v>40</v>
      </c>
      <c r="K6">
        <v>40</v>
      </c>
    </row>
    <row r="7" spans="1:195" x14ac:dyDescent="0.25">
      <c r="A7">
        <v>5</v>
      </c>
      <c r="B7" s="7" t="s">
        <v>10</v>
      </c>
      <c r="C7" s="4">
        <f t="shared" si="3"/>
        <v>62.539682539682538</v>
      </c>
      <c r="D7" s="4">
        <f t="shared" si="4"/>
        <v>60</v>
      </c>
      <c r="E7" s="4">
        <f t="shared" si="5"/>
        <v>60</v>
      </c>
      <c r="F7">
        <f>RANK(G7,$G$3:$G$37)</f>
        <v>2</v>
      </c>
      <c r="G7">
        <f t="shared" si="6"/>
        <v>160</v>
      </c>
      <c r="H7">
        <v>40</v>
      </c>
      <c r="I7">
        <v>40</v>
      </c>
      <c r="J7">
        <v>40</v>
      </c>
      <c r="K7">
        <v>40</v>
      </c>
    </row>
    <row r="8" spans="1:195" x14ac:dyDescent="0.25">
      <c r="A8">
        <v>6</v>
      </c>
      <c r="B8" s="7" t="s">
        <v>11</v>
      </c>
      <c r="C8" s="4">
        <f t="shared" si="3"/>
        <v>62.539682539682538</v>
      </c>
      <c r="D8" s="4">
        <f t="shared" si="4"/>
        <v>60</v>
      </c>
      <c r="E8" s="4">
        <f t="shared" si="5"/>
        <v>60</v>
      </c>
      <c r="F8">
        <f>RANK(G8,$G$3:$G$37)</f>
        <v>2</v>
      </c>
      <c r="G8">
        <f t="shared" si="6"/>
        <v>160</v>
      </c>
      <c r="H8">
        <v>40</v>
      </c>
      <c r="I8">
        <v>40</v>
      </c>
      <c r="J8">
        <v>40</v>
      </c>
      <c r="K8">
        <v>40</v>
      </c>
    </row>
    <row r="9" spans="1:195" x14ac:dyDescent="0.25">
      <c r="A9">
        <v>7</v>
      </c>
      <c r="B9" s="7" t="s">
        <v>12</v>
      </c>
      <c r="C9" s="4">
        <f t="shared" si="3"/>
        <v>62.539682539682538</v>
      </c>
      <c r="D9" s="4">
        <f t="shared" si="4"/>
        <v>60</v>
      </c>
      <c r="E9" s="4">
        <f t="shared" si="5"/>
        <v>60</v>
      </c>
      <c r="F9">
        <f>RANK(G9,$G$3:$G$37)</f>
        <v>2</v>
      </c>
      <c r="G9">
        <f t="shared" si="6"/>
        <v>160</v>
      </c>
      <c r="H9">
        <v>40</v>
      </c>
      <c r="I9">
        <v>40</v>
      </c>
      <c r="J9">
        <v>40</v>
      </c>
      <c r="K9">
        <v>40</v>
      </c>
    </row>
    <row r="10" spans="1:195" x14ac:dyDescent="0.25">
      <c r="A10">
        <v>8</v>
      </c>
      <c r="B10" s="7" t="s">
        <v>13</v>
      </c>
      <c r="C10" s="4">
        <f t="shared" si="3"/>
        <v>62.539682539682538</v>
      </c>
      <c r="D10" s="4">
        <f t="shared" si="4"/>
        <v>60</v>
      </c>
      <c r="E10" s="4">
        <f t="shared" si="5"/>
        <v>60</v>
      </c>
      <c r="F10">
        <f>RANK(G10,$G$3:$G$37)</f>
        <v>2</v>
      </c>
      <c r="G10">
        <f t="shared" si="6"/>
        <v>160</v>
      </c>
      <c r="H10">
        <v>40</v>
      </c>
      <c r="I10">
        <v>40</v>
      </c>
      <c r="J10">
        <v>40</v>
      </c>
      <c r="K10">
        <v>40</v>
      </c>
    </row>
    <row r="11" spans="1:195" x14ac:dyDescent="0.25">
      <c r="A11">
        <v>9</v>
      </c>
      <c r="B11" s="7" t="s">
        <v>14</v>
      </c>
      <c r="C11" s="4">
        <f t="shared" si="3"/>
        <v>62.539682539682538</v>
      </c>
      <c r="D11" s="4">
        <f t="shared" si="4"/>
        <v>60</v>
      </c>
      <c r="E11" s="4">
        <f t="shared" si="5"/>
        <v>60</v>
      </c>
      <c r="F11">
        <f>RANK(G11,$G$3:$G$37)</f>
        <v>2</v>
      </c>
      <c r="G11">
        <f t="shared" si="6"/>
        <v>160</v>
      </c>
      <c r="H11">
        <v>40</v>
      </c>
      <c r="I11">
        <v>40</v>
      </c>
      <c r="J11">
        <v>40</v>
      </c>
      <c r="K11">
        <v>40</v>
      </c>
    </row>
    <row r="12" spans="1:195" x14ac:dyDescent="0.25">
      <c r="A12">
        <v>10</v>
      </c>
      <c r="B12" s="7" t="s">
        <v>15</v>
      </c>
      <c r="C12" s="4">
        <f t="shared" si="3"/>
        <v>62.539682539682538</v>
      </c>
      <c r="D12" s="4">
        <f t="shared" si="4"/>
        <v>60</v>
      </c>
      <c r="E12" s="4">
        <f t="shared" si="5"/>
        <v>60</v>
      </c>
      <c r="F12">
        <f>RANK(G12,$G$3:$G$37)</f>
        <v>2</v>
      </c>
      <c r="G12">
        <f t="shared" si="6"/>
        <v>160</v>
      </c>
      <c r="H12">
        <v>40</v>
      </c>
      <c r="I12">
        <v>40</v>
      </c>
      <c r="J12">
        <v>40</v>
      </c>
      <c r="K12">
        <v>40</v>
      </c>
    </row>
    <row r="13" spans="1:195" x14ac:dyDescent="0.25">
      <c r="A13">
        <v>11</v>
      </c>
      <c r="B13" s="7" t="s">
        <v>16</v>
      </c>
      <c r="C13" s="4">
        <f t="shared" si="3"/>
        <v>62.539682539682538</v>
      </c>
      <c r="D13" s="4">
        <f t="shared" si="4"/>
        <v>60</v>
      </c>
      <c r="E13" s="4">
        <f t="shared" si="5"/>
        <v>60</v>
      </c>
      <c r="F13">
        <f>RANK(G13,$G$3:$G$37)</f>
        <v>2</v>
      </c>
      <c r="G13">
        <f t="shared" si="6"/>
        <v>160</v>
      </c>
      <c r="H13">
        <v>40</v>
      </c>
      <c r="I13">
        <v>40</v>
      </c>
      <c r="J13">
        <v>40</v>
      </c>
      <c r="K13">
        <v>40</v>
      </c>
    </row>
    <row r="14" spans="1:195" x14ac:dyDescent="0.25">
      <c r="A14">
        <v>12</v>
      </c>
      <c r="B14" s="7" t="s">
        <v>17</v>
      </c>
      <c r="C14" s="4">
        <f t="shared" si="3"/>
        <v>62.539682539682538</v>
      </c>
      <c r="D14" s="4">
        <f t="shared" si="4"/>
        <v>60</v>
      </c>
      <c r="E14" s="4">
        <f t="shared" si="5"/>
        <v>60</v>
      </c>
      <c r="F14">
        <f>RANK(G14,$G$3:$G$37)</f>
        <v>2</v>
      </c>
      <c r="G14">
        <f t="shared" si="6"/>
        <v>160</v>
      </c>
      <c r="H14">
        <v>40</v>
      </c>
      <c r="I14">
        <v>40</v>
      </c>
      <c r="J14">
        <v>40</v>
      </c>
      <c r="K14">
        <v>40</v>
      </c>
    </row>
    <row r="15" spans="1:195" x14ac:dyDescent="0.25">
      <c r="A15">
        <v>13</v>
      </c>
      <c r="B15" s="7" t="s">
        <v>18</v>
      </c>
      <c r="C15" s="4">
        <f t="shared" si="3"/>
        <v>62.539682539682538</v>
      </c>
      <c r="D15" s="4">
        <f t="shared" si="4"/>
        <v>60</v>
      </c>
      <c r="E15" s="4">
        <f t="shared" si="5"/>
        <v>60</v>
      </c>
      <c r="F15">
        <f>RANK(G15,$G$3:$G$37)</f>
        <v>2</v>
      </c>
      <c r="G15">
        <f t="shared" si="6"/>
        <v>160</v>
      </c>
      <c r="H15">
        <v>40</v>
      </c>
      <c r="I15">
        <v>40</v>
      </c>
      <c r="J15">
        <v>40</v>
      </c>
      <c r="K15">
        <v>40</v>
      </c>
    </row>
    <row r="16" spans="1:195" x14ac:dyDescent="0.25">
      <c r="A16">
        <v>14</v>
      </c>
      <c r="B16" s="7" t="s">
        <v>19</v>
      </c>
      <c r="C16" s="4">
        <f t="shared" si="3"/>
        <v>62.539682539682538</v>
      </c>
      <c r="D16" s="4">
        <f t="shared" si="4"/>
        <v>60</v>
      </c>
      <c r="E16" s="4">
        <f t="shared" si="5"/>
        <v>60</v>
      </c>
      <c r="F16">
        <f>RANK(G16,$G$3:$G$37)</f>
        <v>2</v>
      </c>
      <c r="G16">
        <f t="shared" si="6"/>
        <v>160</v>
      </c>
      <c r="H16">
        <v>40</v>
      </c>
      <c r="I16">
        <v>40</v>
      </c>
      <c r="J16">
        <v>40</v>
      </c>
      <c r="K16">
        <v>40</v>
      </c>
    </row>
    <row r="17" spans="1:219" x14ac:dyDescent="0.25">
      <c r="A17">
        <v>15</v>
      </c>
      <c r="B17" s="7" t="s">
        <v>20</v>
      </c>
      <c r="C17" s="4">
        <f t="shared" si="3"/>
        <v>62.539682539682538</v>
      </c>
      <c r="D17" s="4">
        <f t="shared" si="4"/>
        <v>60</v>
      </c>
      <c r="E17" s="4">
        <f t="shared" si="5"/>
        <v>60</v>
      </c>
      <c r="F17">
        <f>RANK(G17,$G$3:$G$37)</f>
        <v>2</v>
      </c>
      <c r="G17">
        <f t="shared" si="6"/>
        <v>160</v>
      </c>
      <c r="H17">
        <v>40</v>
      </c>
      <c r="I17">
        <v>40</v>
      </c>
      <c r="J17">
        <v>40</v>
      </c>
      <c r="K17">
        <v>40</v>
      </c>
    </row>
    <row r="18" spans="1:219" x14ac:dyDescent="0.25">
      <c r="A18">
        <v>16</v>
      </c>
      <c r="B18" s="7" t="s">
        <v>21</v>
      </c>
      <c r="C18" s="4">
        <f t="shared" si="3"/>
        <v>62.539682539682538</v>
      </c>
      <c r="D18" s="4">
        <f t="shared" si="4"/>
        <v>60</v>
      </c>
      <c r="E18" s="4">
        <f t="shared" si="5"/>
        <v>60</v>
      </c>
      <c r="F18">
        <f>RANK(G18,$G$3:$G$37)</f>
        <v>2</v>
      </c>
      <c r="G18">
        <f t="shared" si="6"/>
        <v>160</v>
      </c>
      <c r="H18">
        <v>40</v>
      </c>
      <c r="I18">
        <v>40</v>
      </c>
      <c r="J18">
        <v>40</v>
      </c>
      <c r="K18">
        <v>40</v>
      </c>
    </row>
    <row r="19" spans="1:219" x14ac:dyDescent="0.25">
      <c r="A19">
        <v>17</v>
      </c>
      <c r="B19" s="7" t="s">
        <v>22</v>
      </c>
      <c r="C19" s="4">
        <f t="shared" si="3"/>
        <v>62.539682539682538</v>
      </c>
      <c r="D19" s="4">
        <f t="shared" si="4"/>
        <v>60</v>
      </c>
      <c r="E19" s="4">
        <f t="shared" si="5"/>
        <v>60</v>
      </c>
      <c r="F19">
        <f>RANK(G19,$G$3:$G$37)</f>
        <v>2</v>
      </c>
      <c r="G19">
        <f t="shared" si="6"/>
        <v>160</v>
      </c>
      <c r="H19">
        <v>40</v>
      </c>
      <c r="I19">
        <v>40</v>
      </c>
      <c r="J19">
        <v>40</v>
      </c>
      <c r="K19">
        <v>40</v>
      </c>
    </row>
    <row r="20" spans="1:219" x14ac:dyDescent="0.25">
      <c r="A20">
        <v>18</v>
      </c>
      <c r="B20" s="7" t="s">
        <v>23</v>
      </c>
      <c r="C20" s="4">
        <f t="shared" si="3"/>
        <v>62.539682539682538</v>
      </c>
      <c r="D20" s="4">
        <f t="shared" si="4"/>
        <v>60</v>
      </c>
      <c r="E20" s="4">
        <f t="shared" si="5"/>
        <v>60</v>
      </c>
      <c r="F20">
        <f>RANK(G20,$G$3:$G$37)</f>
        <v>2</v>
      </c>
      <c r="G20">
        <f t="shared" si="6"/>
        <v>160</v>
      </c>
      <c r="H20">
        <v>40</v>
      </c>
      <c r="I20">
        <v>40</v>
      </c>
      <c r="J20">
        <v>40</v>
      </c>
      <c r="K20">
        <v>40</v>
      </c>
    </row>
    <row r="21" spans="1:219" x14ac:dyDescent="0.25">
      <c r="A21">
        <v>19</v>
      </c>
      <c r="B21" s="7" t="s">
        <v>24</v>
      </c>
      <c r="C21" s="4">
        <f t="shared" si="3"/>
        <v>62.539682539682538</v>
      </c>
      <c r="D21" s="4">
        <f t="shared" si="4"/>
        <v>60</v>
      </c>
      <c r="E21" s="4">
        <f t="shared" si="5"/>
        <v>60</v>
      </c>
      <c r="F21">
        <f>RANK(G21,$G$3:$G$37)</f>
        <v>2</v>
      </c>
      <c r="G21">
        <f t="shared" si="6"/>
        <v>160</v>
      </c>
      <c r="H21">
        <v>40</v>
      </c>
      <c r="I21">
        <v>40</v>
      </c>
      <c r="J21">
        <v>40</v>
      </c>
      <c r="K21">
        <v>40</v>
      </c>
    </row>
    <row r="22" spans="1:219" s="1" customFormat="1" x14ac:dyDescent="0.25">
      <c r="A22">
        <v>20</v>
      </c>
      <c r="B22" s="7" t="s">
        <v>25</v>
      </c>
      <c r="C22" s="4">
        <f t="shared" si="3"/>
        <v>62.539682539682538</v>
      </c>
      <c r="D22" s="4">
        <f t="shared" si="4"/>
        <v>60</v>
      </c>
      <c r="E22" s="4">
        <f t="shared" si="5"/>
        <v>60</v>
      </c>
      <c r="F22">
        <f>RANK(G22,$G$3:$G$37)</f>
        <v>2</v>
      </c>
      <c r="G22">
        <f t="shared" si="6"/>
        <v>160</v>
      </c>
      <c r="H22">
        <v>40</v>
      </c>
      <c r="I22">
        <v>40</v>
      </c>
      <c r="J22">
        <v>40</v>
      </c>
      <c r="K22" s="5">
        <v>40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</row>
    <row r="23" spans="1:219" x14ac:dyDescent="0.25">
      <c r="A23">
        <v>21</v>
      </c>
      <c r="B23" s="7" t="s">
        <v>26</v>
      </c>
      <c r="C23" s="4">
        <f t="shared" ref="C23:C35" si="7">SUM(H23:BR23)/63+60</f>
        <v>62.539682539682538</v>
      </c>
      <c r="D23" s="4">
        <f t="shared" ref="D23:D35" si="8">SUM(BS23:EH23)/(131-63)+60</f>
        <v>60</v>
      </c>
      <c r="E23" s="4">
        <f t="shared" ref="E23:E35" si="9">SUM(EH23:FV23)/36+60</f>
        <v>60</v>
      </c>
      <c r="F23">
        <f>RANK(G23,$G$3:$G$37)</f>
        <v>2</v>
      </c>
      <c r="G23">
        <f t="shared" si="6"/>
        <v>160</v>
      </c>
      <c r="H23">
        <v>40</v>
      </c>
      <c r="I23">
        <v>40</v>
      </c>
      <c r="J23">
        <v>40</v>
      </c>
      <c r="K23" s="5">
        <v>40</v>
      </c>
    </row>
    <row r="24" spans="1:219" x14ac:dyDescent="0.25">
      <c r="A24">
        <v>22</v>
      </c>
      <c r="B24" s="7" t="s">
        <v>27</v>
      </c>
      <c r="C24" s="4">
        <f t="shared" si="7"/>
        <v>62.539682539682538</v>
      </c>
      <c r="D24" s="4">
        <f t="shared" si="8"/>
        <v>60</v>
      </c>
      <c r="E24" s="4">
        <f t="shared" si="9"/>
        <v>60</v>
      </c>
      <c r="F24">
        <f>RANK(G24,$G$3:$G$37)</f>
        <v>2</v>
      </c>
      <c r="G24">
        <f t="shared" si="6"/>
        <v>160</v>
      </c>
      <c r="H24">
        <v>40</v>
      </c>
      <c r="I24">
        <v>40</v>
      </c>
      <c r="J24">
        <v>40</v>
      </c>
      <c r="K24" s="5">
        <v>40</v>
      </c>
    </row>
    <row r="25" spans="1:219" x14ac:dyDescent="0.25">
      <c r="A25">
        <v>23</v>
      </c>
      <c r="B25" s="7" t="s">
        <v>28</v>
      </c>
      <c r="C25" s="4">
        <f t="shared" si="7"/>
        <v>62.539682539682538</v>
      </c>
      <c r="D25" s="4">
        <f t="shared" si="8"/>
        <v>60</v>
      </c>
      <c r="E25" s="4">
        <f t="shared" si="9"/>
        <v>60</v>
      </c>
      <c r="F25">
        <f>RANK(G25,$G$3:$G$37)</f>
        <v>2</v>
      </c>
      <c r="G25">
        <f t="shared" si="6"/>
        <v>160</v>
      </c>
      <c r="H25">
        <v>40</v>
      </c>
      <c r="I25">
        <v>40</v>
      </c>
      <c r="J25">
        <v>40</v>
      </c>
      <c r="K25" s="5">
        <v>40</v>
      </c>
    </row>
    <row r="26" spans="1:219" x14ac:dyDescent="0.25">
      <c r="A26">
        <v>24</v>
      </c>
      <c r="B26" s="7" t="s">
        <v>29</v>
      </c>
      <c r="C26" s="4">
        <f t="shared" si="7"/>
        <v>62.539682539682538</v>
      </c>
      <c r="D26" s="4">
        <f t="shared" si="8"/>
        <v>60</v>
      </c>
      <c r="E26" s="4">
        <f t="shared" si="9"/>
        <v>60</v>
      </c>
      <c r="F26">
        <f>RANK(G26,$G$3:$G$37)</f>
        <v>2</v>
      </c>
      <c r="G26">
        <f t="shared" si="6"/>
        <v>160</v>
      </c>
      <c r="H26">
        <v>40</v>
      </c>
      <c r="I26">
        <v>40</v>
      </c>
      <c r="J26">
        <v>40</v>
      </c>
      <c r="K26" s="5">
        <v>40</v>
      </c>
    </row>
    <row r="27" spans="1:219" x14ac:dyDescent="0.25">
      <c r="A27">
        <v>25</v>
      </c>
      <c r="B27" s="7" t="s">
        <v>30</v>
      </c>
      <c r="C27" s="4">
        <f t="shared" si="7"/>
        <v>62.539682539682538</v>
      </c>
      <c r="D27" s="4">
        <f t="shared" si="8"/>
        <v>60</v>
      </c>
      <c r="E27" s="4">
        <f t="shared" si="9"/>
        <v>60</v>
      </c>
      <c r="F27">
        <f>RANK(G27,$G$3:$G$37)</f>
        <v>2</v>
      </c>
      <c r="G27">
        <f t="shared" si="6"/>
        <v>160</v>
      </c>
      <c r="H27">
        <v>40</v>
      </c>
      <c r="I27">
        <v>40</v>
      </c>
      <c r="J27">
        <v>40</v>
      </c>
      <c r="K27" s="5">
        <v>40</v>
      </c>
    </row>
    <row r="28" spans="1:219" x14ac:dyDescent="0.25">
      <c r="A28">
        <v>26</v>
      </c>
      <c r="B28" s="7" t="s">
        <v>31</v>
      </c>
      <c r="C28" s="4">
        <f t="shared" si="7"/>
        <v>62.539682539682538</v>
      </c>
      <c r="D28" s="4">
        <f t="shared" si="8"/>
        <v>60</v>
      </c>
      <c r="E28" s="4">
        <f t="shared" si="9"/>
        <v>60</v>
      </c>
      <c r="F28">
        <f>RANK(G28,$G$3:$G$37)</f>
        <v>2</v>
      </c>
      <c r="G28">
        <f t="shared" si="6"/>
        <v>160</v>
      </c>
      <c r="H28">
        <v>40</v>
      </c>
      <c r="I28">
        <v>40</v>
      </c>
      <c r="J28">
        <v>40</v>
      </c>
      <c r="K28" s="5">
        <v>40</v>
      </c>
    </row>
    <row r="29" spans="1:219" x14ac:dyDescent="0.25">
      <c r="A29">
        <v>27</v>
      </c>
      <c r="B29" s="7" t="s">
        <v>32</v>
      </c>
      <c r="C29" s="4">
        <f t="shared" si="7"/>
        <v>62.539682539682538</v>
      </c>
      <c r="D29" s="4">
        <f t="shared" si="8"/>
        <v>60</v>
      </c>
      <c r="E29" s="4">
        <f t="shared" si="9"/>
        <v>60</v>
      </c>
      <c r="F29">
        <f>RANK(G29,$G$3:$G$37)</f>
        <v>2</v>
      </c>
      <c r="G29">
        <f t="shared" si="6"/>
        <v>160</v>
      </c>
      <c r="H29">
        <v>40</v>
      </c>
      <c r="I29">
        <v>40</v>
      </c>
      <c r="J29">
        <v>40</v>
      </c>
      <c r="K29" s="5">
        <v>40</v>
      </c>
    </row>
    <row r="30" spans="1:219" x14ac:dyDescent="0.25">
      <c r="A30">
        <v>28</v>
      </c>
      <c r="B30" s="7" t="s">
        <v>33</v>
      </c>
      <c r="C30" s="4">
        <f t="shared" si="7"/>
        <v>62.539682539682538</v>
      </c>
      <c r="D30" s="4">
        <f t="shared" si="8"/>
        <v>60</v>
      </c>
      <c r="E30" s="4">
        <f t="shared" si="9"/>
        <v>60</v>
      </c>
      <c r="F30">
        <f>RANK(G30,$G$3:$G$37)</f>
        <v>2</v>
      </c>
      <c r="G30">
        <f t="shared" si="6"/>
        <v>160</v>
      </c>
      <c r="H30">
        <v>40</v>
      </c>
      <c r="I30">
        <v>40</v>
      </c>
      <c r="J30">
        <v>40</v>
      </c>
      <c r="K30" s="5">
        <v>40</v>
      </c>
    </row>
    <row r="31" spans="1:219" x14ac:dyDescent="0.25">
      <c r="A31">
        <v>29</v>
      </c>
      <c r="B31" s="7" t="s">
        <v>34</v>
      </c>
      <c r="C31" s="4">
        <f t="shared" si="7"/>
        <v>62.539682539682538</v>
      </c>
      <c r="D31" s="4">
        <f t="shared" si="8"/>
        <v>60</v>
      </c>
      <c r="E31" s="4">
        <f t="shared" si="9"/>
        <v>60</v>
      </c>
      <c r="F31">
        <f>RANK(G31,$G$3:$G$37)</f>
        <v>2</v>
      </c>
      <c r="G31">
        <f t="shared" si="6"/>
        <v>160</v>
      </c>
      <c r="H31">
        <v>40</v>
      </c>
      <c r="I31">
        <v>40</v>
      </c>
      <c r="J31">
        <v>40</v>
      </c>
      <c r="K31" s="5">
        <v>40</v>
      </c>
    </row>
    <row r="32" spans="1:219" x14ac:dyDescent="0.25">
      <c r="A32">
        <v>30</v>
      </c>
      <c r="B32" s="7" t="s">
        <v>35</v>
      </c>
      <c r="C32" s="4">
        <f t="shared" si="7"/>
        <v>62.539682539682538</v>
      </c>
      <c r="D32" s="4">
        <f t="shared" si="8"/>
        <v>60</v>
      </c>
      <c r="E32" s="4">
        <f t="shared" si="9"/>
        <v>60</v>
      </c>
      <c r="F32">
        <f>RANK(G32,$G$3:$G$37)</f>
        <v>2</v>
      </c>
      <c r="G32">
        <f t="shared" si="6"/>
        <v>160</v>
      </c>
      <c r="H32">
        <v>40</v>
      </c>
      <c r="I32">
        <v>40</v>
      </c>
      <c r="J32">
        <v>40</v>
      </c>
      <c r="K32" s="5">
        <v>40</v>
      </c>
    </row>
    <row r="33" spans="1:243" x14ac:dyDescent="0.25">
      <c r="A33">
        <v>31</v>
      </c>
      <c r="B33" s="7" t="s">
        <v>36</v>
      </c>
      <c r="C33" s="4">
        <f t="shared" si="7"/>
        <v>62.539682539682538</v>
      </c>
      <c r="D33" s="4">
        <f t="shared" si="8"/>
        <v>60</v>
      </c>
      <c r="E33" s="4">
        <f t="shared" si="9"/>
        <v>60</v>
      </c>
      <c r="F33">
        <f>RANK(G33,$G$3:$G$37)</f>
        <v>2</v>
      </c>
      <c r="G33">
        <f t="shared" si="6"/>
        <v>160</v>
      </c>
      <c r="H33">
        <v>40</v>
      </c>
      <c r="I33">
        <v>40</v>
      </c>
      <c r="J33">
        <v>40</v>
      </c>
      <c r="K33" s="5">
        <v>40</v>
      </c>
    </row>
    <row r="34" spans="1:243" x14ac:dyDescent="0.25">
      <c r="A34">
        <v>32</v>
      </c>
      <c r="B34" s="7" t="s">
        <v>37</v>
      </c>
      <c r="C34" s="4">
        <f t="shared" si="7"/>
        <v>62.539682539682538</v>
      </c>
      <c r="D34" s="4">
        <f t="shared" si="8"/>
        <v>60</v>
      </c>
      <c r="E34" s="4">
        <f t="shared" si="9"/>
        <v>60</v>
      </c>
      <c r="F34">
        <f>RANK(G34,$G$3:$G$37)</f>
        <v>2</v>
      </c>
      <c r="G34">
        <f t="shared" si="6"/>
        <v>160</v>
      </c>
      <c r="H34">
        <v>40</v>
      </c>
      <c r="I34">
        <v>40</v>
      </c>
      <c r="J34">
        <v>40</v>
      </c>
      <c r="K34" s="5">
        <v>40</v>
      </c>
    </row>
    <row r="35" spans="1:243" x14ac:dyDescent="0.25">
      <c r="A35">
        <v>33</v>
      </c>
      <c r="B35" s="7" t="s">
        <v>38</v>
      </c>
      <c r="C35" s="4">
        <f t="shared" si="7"/>
        <v>62.539682539682538</v>
      </c>
      <c r="D35" s="4">
        <f t="shared" si="8"/>
        <v>60</v>
      </c>
      <c r="E35" s="4">
        <f t="shared" si="9"/>
        <v>60</v>
      </c>
      <c r="F35">
        <f>RANK(G35,$G$3:$G$37)</f>
        <v>2</v>
      </c>
      <c r="G35">
        <f t="shared" si="6"/>
        <v>160</v>
      </c>
      <c r="H35">
        <v>40</v>
      </c>
      <c r="I35">
        <v>40</v>
      </c>
      <c r="J35">
        <v>40</v>
      </c>
      <c r="K35" s="5">
        <v>40</v>
      </c>
    </row>
    <row r="36" spans="1:243" x14ac:dyDescent="0.25">
      <c r="A36">
        <v>34</v>
      </c>
      <c r="B36" s="7" t="s">
        <v>42</v>
      </c>
      <c r="C36" s="4">
        <f t="shared" ref="C36" si="10">SUM(H36:BR36)/63+60</f>
        <v>62.539682539682538</v>
      </c>
      <c r="D36" s="4">
        <f t="shared" ref="D36" si="11">SUM(BS36:EH36)/(131-63)+60</f>
        <v>60</v>
      </c>
      <c r="E36" s="4">
        <f t="shared" ref="E36" si="12">SUM(EH36:FV36)/36+60</f>
        <v>60</v>
      </c>
      <c r="F36">
        <f>RANK(G36,$G$3:$G$37)</f>
        <v>2</v>
      </c>
      <c r="G36">
        <f t="shared" ref="G36" si="13">SUM(H36:AAB36)</f>
        <v>160</v>
      </c>
      <c r="H36">
        <v>40</v>
      </c>
      <c r="I36">
        <v>40</v>
      </c>
      <c r="J36">
        <v>40</v>
      </c>
      <c r="K36" s="5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K4:QB21 H3:QB3 H4:J36 K22:K36">
    <cfRule type="colorScale" priority="3">
      <colorScale>
        <cfvo type="min"/>
        <cfvo type="max"/>
        <color rgb="FFFCFCFF"/>
        <color rgb="FF63BE7B"/>
      </colorScale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2026-08-06T07:25:50Z</dcterms:modified>
</cp:coreProperties>
</file>